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33377228\Documents\2026\Objetivos\Consenso\Consenso\"/>
    </mc:Choice>
  </mc:AlternateContent>
  <xr:revisionPtr revIDLastSave="0" documentId="13_ncr:1_{75D3D0DC-08D5-4763-B314-B4EBD5FDF3A3}" xr6:coauthVersionLast="47" xr6:coauthVersionMax="47" xr10:uidLastSave="{00000000-0000-0000-0000-000000000000}"/>
  <bookViews>
    <workbookView xWindow="-110" yWindow="-110" windowWidth="19420" windowHeight="10300" activeTab="2" xr2:uid="{FD13E5EB-7AE7-4310-A1BE-1C380340E27C}"/>
  </bookViews>
  <sheets>
    <sheet name="Fechas" sheetId="5" r:id="rId1"/>
    <sheet name="Evaluadores_Tecnicos" sheetId="2" r:id="rId2"/>
    <sheet name="Registro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5" l="1"/>
  <c r="L2" i="5"/>
  <c r="J2" i="5"/>
  <c r="H2" i="5"/>
  <c r="F2" i="5"/>
  <c r="G2" i="5"/>
  <c r="E2" i="5"/>
  <c r="I2" i="5" l="1"/>
  <c r="M2" i="5" s="1"/>
  <c r="K2" i="5"/>
</calcChain>
</file>

<file path=xl/sharedStrings.xml><?xml version="1.0" encoding="utf-8"?>
<sst xmlns="http://schemas.openxmlformats.org/spreadsheetml/2006/main" count="37" uniqueCount="36">
  <si>
    <t>Aportes_resto del mes</t>
  </si>
  <si>
    <t>Lista_Evaluadores</t>
  </si>
  <si>
    <t>Iniciales</t>
  </si>
  <si>
    <t>Adriana Salinas</t>
  </si>
  <si>
    <t>Paola Esteban</t>
  </si>
  <si>
    <t>Eder Cárdenas</t>
  </si>
  <si>
    <t>Andres Velasco</t>
  </si>
  <si>
    <t>AS</t>
  </si>
  <si>
    <t>PE</t>
  </si>
  <si>
    <t>EC</t>
  </si>
  <si>
    <t>AV</t>
  </si>
  <si>
    <t>Fecha de inico del seguimiento</t>
  </si>
  <si>
    <t>Fecha de realización del concenso</t>
  </si>
  <si>
    <t>Fin del horizonte de pronostico</t>
  </si>
  <si>
    <t>Inicio del horizonte de pronostico</t>
  </si>
  <si>
    <t>Inico S1</t>
  </si>
  <si>
    <t>fin S1</t>
  </si>
  <si>
    <t>fin S2</t>
  </si>
  <si>
    <t>Inico S2</t>
  </si>
  <si>
    <t>fin S3</t>
  </si>
  <si>
    <t>Inico S3</t>
  </si>
  <si>
    <t>fin S4</t>
  </si>
  <si>
    <t>Inico S4</t>
  </si>
  <si>
    <t>Inico S5</t>
  </si>
  <si>
    <t>fin S5</t>
  </si>
  <si>
    <t>Aportes S1</t>
  </si>
  <si>
    <t>Evaluador</t>
  </si>
  <si>
    <t>Aportes S2</t>
  </si>
  <si>
    <t>Aportes S3</t>
  </si>
  <si>
    <t>Aportes S4</t>
  </si>
  <si>
    <t>Aportes S5</t>
  </si>
  <si>
    <t>Real a la fecha</t>
  </si>
  <si>
    <t>Aportes cierre de mes</t>
  </si>
  <si>
    <t>Cuenca</t>
  </si>
  <si>
    <t xml:space="preserve">Fecha_hora_registro </t>
  </si>
  <si>
    <t>No 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</si>
</sst>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D53130-2C34-4F83-99E3-10E8342DE54C}">
  <we:reference id="wa200007447" version="1.1.6.7" store="es-ES" storeType="OMEX"/>
  <we:alternateReferences>
    <we:reference id="WA200007447" version="1.1.6.7" store="WA200007447" storeType="OMEX"/>
  </we:alternateReferences>
  <we:properties>
    <we:property name="hello" value="{&quot;name&quot;:&quot;hello&quot;,&quot;code&quot;:&quot;def hello(name):\n    \&quot;\&quot;\&quot; Returns a greeting. \&quot;\&quot;\&quot;\n    return f\&quot;Hello {name}!\&quot;\n\n\n\n\n    \n# Code MUST be a function!\n# Save creates an Excel function\n# e.g. =HELLO(\&quot;World\&quot;)\n# Click 📖 to see full docs\n# Try examples in Functions tab&quot;,&quot;options&quot;:{},&quot;signature&quot;:&quot;HELLO(name)&quot;,&quot;description&quot;:&quot;Returns a greeting.&quot;,&quot;resultLine&quot;:&quot;\n\nresult = hello(**{k: v for k, v in [(\&quot;name\&quot;, arg1 if arg1 != \&quot;__OMITTED__\&quot; else None)] if v is not None})&quot;,&quot;timestamp&quot;:&quot;2026-07-01T13:58:02.685Z&quot;,&quot;parameters&quot;:[{&quot;name&quot;:&quot;name&quot;,&quot;optional&quot;:false}],&quot;imports&quot;:[],&quot;external_packages&quot;:[],&quot;isUserDefined&quot;:true}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887E-90ED-4D9A-BECA-0DB110A23C2C}">
  <dimension ref="A1:N2"/>
  <sheetViews>
    <sheetView topLeftCell="C1" workbookViewId="0">
      <selection activeCell="C1" sqref="C1:N1"/>
    </sheetView>
  </sheetViews>
  <sheetFormatPr baseColWidth="10" defaultRowHeight="14.5" x14ac:dyDescent="0.35"/>
  <cols>
    <col min="1" max="1" width="30.453125" customWidth="1"/>
    <col min="2" max="3" width="30" customWidth="1"/>
    <col min="4" max="4" width="25.6328125" customWidth="1"/>
    <col min="5" max="6" width="9.08984375" bestFit="1" customWidth="1"/>
  </cols>
  <sheetData>
    <row r="1" spans="1:14" x14ac:dyDescent="0.35">
      <c r="A1" t="s">
        <v>11</v>
      </c>
      <c r="B1" t="s">
        <v>12</v>
      </c>
      <c r="C1" t="s">
        <v>14</v>
      </c>
      <c r="D1" t="s">
        <v>13</v>
      </c>
      <c r="E1" s="2" t="s">
        <v>15</v>
      </c>
      <c r="F1" s="2" t="s">
        <v>16</v>
      </c>
      <c r="G1" s="2" t="s">
        <v>18</v>
      </c>
      <c r="H1" s="2" t="s">
        <v>17</v>
      </c>
      <c r="I1" s="2" t="s">
        <v>20</v>
      </c>
      <c r="J1" s="2" t="s">
        <v>19</v>
      </c>
      <c r="K1" s="2" t="s">
        <v>22</v>
      </c>
      <c r="L1" s="2" t="s">
        <v>21</v>
      </c>
      <c r="M1" s="2" t="s">
        <v>23</v>
      </c>
      <c r="N1" s="2" t="s">
        <v>24</v>
      </c>
    </row>
    <row r="2" spans="1:14" x14ac:dyDescent="0.35">
      <c r="A2" s="1">
        <v>46288</v>
      </c>
      <c r="B2" s="1">
        <v>46324</v>
      </c>
      <c r="C2" s="1">
        <v>46327</v>
      </c>
      <c r="D2" s="1">
        <v>46356</v>
      </c>
      <c r="E2" s="1">
        <f>+C2</f>
        <v>46327</v>
      </c>
      <c r="F2" s="3">
        <f>+E2+6</f>
        <v>46333</v>
      </c>
      <c r="G2" s="3">
        <f>+F2+1</f>
        <v>46334</v>
      </c>
      <c r="H2" s="3">
        <f>+G2+6</f>
        <v>46340</v>
      </c>
      <c r="I2" s="3">
        <f>+H2+1</f>
        <v>46341</v>
      </c>
      <c r="J2" s="3">
        <f>+I2+6</f>
        <v>46347</v>
      </c>
      <c r="K2" s="3">
        <f>+J2+1</f>
        <v>46348</v>
      </c>
      <c r="L2" s="3">
        <f>+K2+6</f>
        <v>46354</v>
      </c>
      <c r="M2" s="3">
        <f>+L2+1</f>
        <v>46355</v>
      </c>
      <c r="N2" s="3">
        <f>+D2</f>
        <v>46356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7B3A-5CBC-45A4-A0F6-336E23370670}">
  <dimension ref="A1:B5"/>
  <sheetViews>
    <sheetView workbookViewId="0">
      <selection sqref="A1:B5"/>
    </sheetView>
  </sheetViews>
  <sheetFormatPr baseColWidth="10" defaultRowHeight="14.5" x14ac:dyDescent="0.35"/>
  <cols>
    <col min="1" max="1" width="20.5429687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3</v>
      </c>
      <c r="B2" t="s">
        <v>7</v>
      </c>
    </row>
    <row r="3" spans="1:2" x14ac:dyDescent="0.35">
      <c r="A3" t="s">
        <v>4</v>
      </c>
      <c r="B3" t="s">
        <v>8</v>
      </c>
    </row>
    <row r="4" spans="1:2" x14ac:dyDescent="0.35">
      <c r="A4" t="s">
        <v>5</v>
      </c>
      <c r="B4" t="s">
        <v>9</v>
      </c>
    </row>
    <row r="5" spans="1:2" x14ac:dyDescent="0.35">
      <c r="A5" t="s">
        <v>6</v>
      </c>
      <c r="B5" t="s">
        <v>10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0495-4957-43B2-9F12-7FD9C4A88195}">
  <dimension ref="A1:L2"/>
  <sheetViews>
    <sheetView tabSelected="1" topLeftCell="B1" zoomScale="80" zoomScaleNormal="80" workbookViewId="0">
      <selection activeCell="H7" sqref="H7"/>
    </sheetView>
  </sheetViews>
  <sheetFormatPr baseColWidth="10" defaultRowHeight="14.5" x14ac:dyDescent="0.35"/>
  <cols>
    <col min="1" max="2" width="19.81640625" customWidth="1"/>
    <col min="3" max="3" width="15.6328125" customWidth="1"/>
    <col min="6" max="6" width="19.7265625" customWidth="1"/>
    <col min="10" max="10" width="13.54296875" customWidth="1"/>
    <col min="12" max="12" width="20.453125" customWidth="1"/>
  </cols>
  <sheetData>
    <row r="1" spans="1:12" x14ac:dyDescent="0.35">
      <c r="A1" s="2" t="s">
        <v>34</v>
      </c>
      <c r="B1" s="2" t="s">
        <v>35</v>
      </c>
      <c r="C1" s="2" t="s">
        <v>33</v>
      </c>
      <c r="D1" s="8" t="s">
        <v>26</v>
      </c>
      <c r="E1" s="8" t="s">
        <v>25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0</v>
      </c>
      <c r="L1" s="9" t="s">
        <v>32</v>
      </c>
    </row>
    <row r="2" spans="1:12" x14ac:dyDescent="0.35">
      <c r="A2" s="5">
        <v>46355</v>
      </c>
      <c r="B2" s="10">
        <v>1</v>
      </c>
      <c r="C2" s="6"/>
      <c r="D2" s="4" t="s">
        <v>8</v>
      </c>
      <c r="E2" s="4">
        <v>60</v>
      </c>
      <c r="F2" s="4">
        <v>40</v>
      </c>
      <c r="G2" s="4">
        <v>50</v>
      </c>
      <c r="H2" s="4">
        <v>60</v>
      </c>
      <c r="I2" s="4">
        <v>60</v>
      </c>
      <c r="J2" s="4"/>
      <c r="K2" s="4">
        <v>53</v>
      </c>
      <c r="L2" s="7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Fechas</vt:lpstr>
      <vt:lpstr>Evaluadores_Tecnicos</vt:lpstr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Calderon, Carol Paola, Enel Colombia</dc:creator>
  <cp:lastModifiedBy>Esteban Calderon, Carol Paola, Enel Colombia</cp:lastModifiedBy>
  <dcterms:created xsi:type="dcterms:W3CDTF">2026-10-28T21:46:35Z</dcterms:created>
  <dcterms:modified xsi:type="dcterms:W3CDTF">2026-10-30T03:41:05Z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2026-10-29T02:56:47Z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1ad0fba4-f703-4496-ac3d-27c7db4ef0d3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